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d6d336c47ff6bcf/Desktop/PA/Vita/python/"/>
    </mc:Choice>
  </mc:AlternateContent>
  <xr:revisionPtr revIDLastSave="2" documentId="11_B138759FCCF823107C04ECD7C71327B65CDCCBC0" xr6:coauthVersionLast="47" xr6:coauthVersionMax="47" xr10:uidLastSave="{C8E78882-5577-487F-BD8F-3C8174BC39C4}"/>
  <bookViews>
    <workbookView xWindow="-108" yWindow="-108" windowWidth="23256" windowHeight="12456" tabRatio="500" xr2:uid="{00000000-000D-0000-FFFF-FFFF00000000}"/>
  </bookViews>
  <sheets>
    <sheet name="Read Me" sheetId="1" r:id="rId1"/>
    <sheet name="Summary" sheetId="2" r:id="rId2"/>
    <sheet name="Durational Assumptions" sheetId="3" r:id="rId3"/>
    <sheet name="Policy Assumptions" sheetId="4" r:id="rId4"/>
    <sheet name="POL-001" sheetId="5" r:id="rId5"/>
    <sheet name="POL-002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6" l="1"/>
  <c r="C5" i="6"/>
  <c r="E13" i="6"/>
  <c r="C13" i="6"/>
  <c r="A13" i="6"/>
  <c r="B13" i="6" s="1"/>
  <c r="E12" i="6"/>
  <c r="C12" i="6"/>
  <c r="A12" i="6"/>
  <c r="B12" i="6" s="1"/>
  <c r="E11" i="6"/>
  <c r="C11" i="6"/>
  <c r="A11" i="6"/>
  <c r="B11" i="6" s="1"/>
  <c r="E10" i="6"/>
  <c r="C10" i="6"/>
  <c r="A10" i="6"/>
  <c r="B10" i="6" s="1"/>
  <c r="E9" i="6"/>
  <c r="G9" i="6" s="1"/>
  <c r="G10" i="6" s="1"/>
  <c r="G11" i="6" s="1"/>
  <c r="G12" i="6" s="1"/>
  <c r="G13" i="6" s="1"/>
  <c r="C9" i="6"/>
  <c r="A9" i="6"/>
  <c r="B9" i="6" s="1"/>
  <c r="C6" i="6"/>
  <c r="D5" i="2" s="1"/>
  <c r="C5" i="2"/>
  <c r="C4" i="6"/>
  <c r="B5" i="2" s="1"/>
  <c r="E13" i="5"/>
  <c r="C13" i="5"/>
  <c r="A13" i="5"/>
  <c r="B13" i="5" s="1"/>
  <c r="E12" i="5"/>
  <c r="C12" i="5"/>
  <c r="A12" i="5"/>
  <c r="B12" i="5" s="1"/>
  <c r="E11" i="5"/>
  <c r="C11" i="5"/>
  <c r="A11" i="5"/>
  <c r="B11" i="5" s="1"/>
  <c r="E10" i="5"/>
  <c r="C10" i="5"/>
  <c r="A10" i="5"/>
  <c r="B10" i="5" s="1"/>
  <c r="E9" i="5"/>
  <c r="G9" i="5" s="1"/>
  <c r="G10" i="5" s="1"/>
  <c r="G11" i="5" s="1"/>
  <c r="G12" i="5" s="1"/>
  <c r="G13" i="5" s="1"/>
  <c r="C9" i="5"/>
  <c r="A9" i="5"/>
  <c r="B9" i="5" s="1"/>
  <c r="H9" i="5" s="1"/>
  <c r="I9" i="5" s="1"/>
  <c r="C6" i="5"/>
  <c r="D4" i="2" s="1"/>
  <c r="C5" i="5"/>
  <c r="C4" i="2" s="1"/>
  <c r="C4" i="5"/>
  <c r="B4" i="2" s="1"/>
  <c r="G3" i="4"/>
  <c r="F3" i="4"/>
  <c r="E3" i="4"/>
  <c r="G2" i="4"/>
  <c r="F2" i="4"/>
  <c r="E2" i="4"/>
  <c r="D10" i="3"/>
  <c r="I6" i="3"/>
  <c r="G6" i="3"/>
  <c r="F6" i="3"/>
  <c r="E6" i="3"/>
  <c r="I5" i="3"/>
  <c r="G5" i="3"/>
  <c r="F5" i="3"/>
  <c r="E5" i="3"/>
  <c r="I4" i="3"/>
  <c r="G4" i="3"/>
  <c r="F4" i="3"/>
  <c r="E4" i="3"/>
  <c r="I3" i="3"/>
  <c r="G3" i="3"/>
  <c r="F3" i="3"/>
  <c r="E3" i="3"/>
  <c r="I2" i="3"/>
  <c r="G2" i="3"/>
  <c r="F2" i="3"/>
  <c r="E2" i="3"/>
  <c r="A5" i="2"/>
  <c r="A4" i="2"/>
  <c r="D13" i="6" l="1"/>
  <c r="D13" i="5"/>
  <c r="H6" i="3"/>
  <c r="D12" i="6"/>
  <c r="D12" i="5"/>
  <c r="H5" i="3"/>
  <c r="D11" i="6"/>
  <c r="D11" i="5"/>
  <c r="H4" i="3"/>
  <c r="D10" i="6"/>
  <c r="D10" i="5"/>
  <c r="H3" i="3"/>
  <c r="D9" i="6"/>
  <c r="F10" i="6" s="1"/>
  <c r="D9" i="5"/>
  <c r="F10" i="5" s="1"/>
  <c r="H2" i="3"/>
  <c r="C8" i="2" s="1"/>
  <c r="I9" i="6"/>
  <c r="H10" i="6" l="1"/>
  <c r="I10" i="6" s="1"/>
  <c r="F11" i="6"/>
  <c r="F11" i="5"/>
  <c r="H10" i="5"/>
  <c r="I10" i="5" s="1"/>
  <c r="H11" i="6" l="1"/>
  <c r="I11" i="6" s="1"/>
  <c r="F12" i="6"/>
  <c r="H11" i="5"/>
  <c r="I11" i="5" s="1"/>
  <c r="F12" i="5"/>
  <c r="H12" i="6" l="1"/>
  <c r="I12" i="6" s="1"/>
  <c r="I15" i="6" s="1"/>
  <c r="F13" i="6"/>
  <c r="H13" i="6" s="1"/>
  <c r="I13" i="6" s="1"/>
  <c r="H12" i="5"/>
  <c r="I12" i="5" s="1"/>
  <c r="I15" i="5" s="1"/>
  <c r="F13" i="5"/>
  <c r="H13" i="5" s="1"/>
  <c r="I13" i="5" s="1"/>
  <c r="E5" i="2" l="1"/>
  <c r="I16" i="6"/>
  <c r="F5" i="2" s="1"/>
  <c r="H5" i="2" s="1"/>
  <c r="I5" i="2" s="1"/>
  <c r="E4" i="2"/>
  <c r="I16" i="5"/>
  <c r="F4" i="2" s="1"/>
  <c r="H4" i="2" s="1"/>
  <c r="I4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G4" authorId="0" shapeId="0" xr:uid="{00000000-0006-0000-0100-000001000000}">
      <text>
        <r>
          <rPr>
            <sz val="10"/>
            <rFont val="Arial"/>
            <family val="2"/>
          </rPr>
          <t>Hardcoded from the Python run: run_from_csv.py printed this value rounded to 2 decimals; full precision shown here.</t>
        </r>
      </text>
    </comment>
    <comment ref="G5" authorId="0" shapeId="0" xr:uid="{00000000-0006-0000-0100-000002000000}">
      <text>
        <r>
          <rPr>
            <sz val="10"/>
            <rFont val="Arial"/>
            <family val="2"/>
          </rPr>
          <t>Hardcoded from the Python run: run_from_csv.py printed this value rounded to 2 decimals; full precision shown here.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400-000001000000}">
      <text>
        <r>
          <rPr>
            <sz val="10"/>
            <rFont val="Arial"/>
            <family val="2"/>
          </rPr>
          <t>Must match a policy_id on the Policy Assumptions sheet.</t>
        </r>
      </text>
    </comment>
    <comment ref="F9" authorId="0" shapeId="0" xr:uid="{00000000-0006-0000-0400-000002000000}">
      <text>
        <r>
          <rPr>
            <sz val="10"/>
            <rFont val="Arial"/>
            <family val="2"/>
          </rPr>
          <t>Starting in-force probability of 1, as in policy_valuation.py (in_force = 1.0).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3" authorId="0" shapeId="0" xr:uid="{00000000-0006-0000-0500-000001000000}">
      <text>
        <r>
          <rPr>
            <sz val="10"/>
            <rFont val="Arial"/>
            <family val="2"/>
          </rPr>
          <t>Must match a policy_id on the Policy Assumptions sheet.</t>
        </r>
      </text>
    </comment>
    <comment ref="F9" authorId="0" shapeId="0" xr:uid="{00000000-0006-0000-0500-000002000000}">
      <text>
        <r>
          <rPr>
            <sz val="10"/>
            <rFont val="Arial"/>
            <family val="2"/>
          </rPr>
          <t>Starting in-force probability of 1, as in policy_valuation.py (in_force = 1.0).</t>
        </r>
      </text>
    </comment>
  </commentList>
</comments>
</file>

<file path=xl/sharedStrings.xml><?xml version="1.0" encoding="utf-8"?>
<sst xmlns="http://schemas.openxmlformats.org/spreadsheetml/2006/main" count="91" uniqueCount="64">
  <si>
    <t>Vita policy valuation - Excel verification of policy_valuation.py / run_from_csv.py</t>
  </si>
  <si>
    <t>Purpose</t>
  </si>
  <si>
    <t>This workbook reproduces the calculation in run_from_csv.py and policy_valuation.py with Excel formulas, so the Python results can be checked independently.</t>
  </si>
  <si>
    <t>Sheets</t>
  </si>
  <si>
    <t>Durational Assumptions: copy of durational_assumptions.csv (inputs), plus the derived lapse rate and the same input checks the Python code performs.</t>
  </si>
  <si>
    <t>Policy Assumptions: copy of policy_assumptions.csv (inputs), plus the term check the Python code performs.</t>
  </si>
  <si>
    <t>POL-001, POL-002: one period-by-period schedule per policy. Each column matches a field of PeriodDetail in policy_valuation.py.</t>
  </si>
  <si>
    <t>Summary: the Excel value for each policy next to the Python value, with the difference and a pass/fail flag.</t>
  </si>
  <si>
    <t>Method (as implemented in the Python code)</t>
  </si>
  <si>
    <t>1. lapse[t] = 1 - persistency_rate[t].</t>
  </si>
  <si>
    <t>2. In-force probability at the start of period 1 is 1. For t &gt; 1: in_force[t] = in_force[t-1] * (1 - qx[t-1]) * (1 - lapse[t-1]).</t>
  </si>
  <si>
    <t>3. Cumulative discount factor: DF[t] = DF[t-1] / (1 + interest_rate[t]), with DF[0] = 1. Death benefits are paid at the end of the period.</t>
  </si>
  <si>
    <t>4. Expected death benefit[t] = in_force[t] * qx[t] * face_amount. Present value[t] = expected death benefit[t] * DF[t].</t>
  </si>
  <si>
    <t>5. APV before propensity = sum of present values over periods 1..term. Value = APV * propensity_to_buy.</t>
  </si>
  <si>
    <t>6. A policy uses the first 'term' rows of the durational table. Rows beyond the term are shown in the schedule but flagged inactive and contribute 0.</t>
  </si>
  <si>
    <t>Legend</t>
  </si>
  <si>
    <t>Blue text = hardcoded input copied from the CSV files or from the Python output. Black text = formula. Green text = link to another sheet.</t>
  </si>
  <si>
    <t>Yellow fill = input cells you may edit (the durational table, the policy table, and the Policy ID cell at the top of each schedule sheet).</t>
  </si>
  <si>
    <t>Adding a policy</t>
  </si>
  <si>
    <t>Add a row to Policy Assumptions, copy one of the schedule sheets, change its Policy ID cell (C3), and add a row to Summary pointing at the new sheet's totals.</t>
  </si>
  <si>
    <t>If the durational table grows beyond 5 rows, extend the schedule rows on each policy sheet to match.</t>
  </si>
  <si>
    <t>Summary - Excel vs. Python</t>
  </si>
  <si>
    <t>policy_id</t>
  </si>
  <si>
    <t>term</t>
  </si>
  <si>
    <t>propensity_to_buy</t>
  </si>
  <si>
    <t>face_amount</t>
  </si>
  <si>
    <t>APV before propensity (Excel)</t>
  </si>
  <si>
    <t>Value (Excel)</t>
  </si>
  <si>
    <t>Value (Python)</t>
  </si>
  <si>
    <t>Difference (Excel - Python)</t>
  </si>
  <si>
    <t>Match (|diff| &lt; 0.005)</t>
  </si>
  <si>
    <t>Value (Python) is copied from the output of: python run_from_csv.py (run on 2026-09-22 against the CSVs in Vita\python). Update it if the inputs change.</t>
  </si>
  <si>
    <t>All input checks</t>
  </si>
  <si>
    <t>duration</t>
  </si>
  <si>
    <t>qx</t>
  </si>
  <si>
    <t>persistency_rate</t>
  </si>
  <si>
    <t>interest_rate</t>
  </si>
  <si>
    <t>lapse (derived)</t>
  </si>
  <si>
    <t>check: qx in [0,1]</t>
  </si>
  <si>
    <t>check: persistency in [0,1]</t>
  </si>
  <si>
    <t>check: qx + lapse &lt;= 1</t>
  </si>
  <si>
    <t>check: interest_rate &gt; -1</t>
  </si>
  <si>
    <t>Source: durational_assumptions.csv (Vita\python), copied as given.</t>
  </si>
  <si>
    <t>Durations must run 1, 2, 3, ... with no gaps, as run_from_csv.py requires.</t>
  </si>
  <si>
    <t>check: durations contiguous from 1</t>
  </si>
  <si>
    <t>check: term is positive integer and &lt;= durations available</t>
  </si>
  <si>
    <t>check: propensity in [0,1]</t>
  </si>
  <si>
    <t>check: face_amount &gt; 0</t>
  </si>
  <si>
    <t>POL-001</t>
  </si>
  <si>
    <t>POL-002</t>
  </si>
  <si>
    <t>Source: policy_assumptions.csv (Vita\python), copied as given.</t>
  </si>
  <si>
    <t>Valuation schedule - POL-001</t>
  </si>
  <si>
    <t>Policy ID</t>
  </si>
  <si>
    <t>period t</t>
  </si>
  <si>
    <t>active (t &lt;= term)</t>
  </si>
  <si>
    <t>lapse</t>
  </si>
  <si>
    <t>in_force_prob (start of period)</t>
  </si>
  <si>
    <t>discount_factor (cumulative)</t>
  </si>
  <si>
    <t>expected_death_benefit (undiscounted)</t>
  </si>
  <si>
    <t>present_value</t>
  </si>
  <si>
    <t>APV of death benefit (before propensity)</t>
  </si>
  <si>
    <t>Value (after propensity)</t>
  </si>
  <si>
    <t>Rows with active = 0 are beyond the policy term and contribute 0, matching the Python code's use of the first 'term' durations only.</t>
  </si>
  <si>
    <t>Valuation schedule - POL-002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</si>
</sst>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00000"/>
    <numFmt numFmtId="166" formatCode="0.000"/>
    <numFmt numFmtId="167" formatCode="0.00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11"/>
      <color theme="1"/>
      <name val="Arial"/>
      <charset val="1"/>
    </font>
    <font>
      <sz val="11"/>
      <color rgb="FF008000"/>
      <name val="Arial"/>
      <charset val="1"/>
    </font>
    <font>
      <sz val="11"/>
      <color rgb="FF0000FF"/>
      <name val="Arial"/>
      <charset val="1"/>
    </font>
    <font>
      <i/>
      <sz val="11"/>
      <name val="Arial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0" xfId="0" applyFont="1"/>
    <xf numFmtId="0" fontId="4" fillId="0" borderId="0" xfId="0" applyFont="1"/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/>
    <xf numFmtId="2" fontId="5" fillId="0" borderId="1" xfId="0" applyNumberFormat="1" applyFont="1" applyBorder="1"/>
    <xf numFmtId="164" fontId="5" fillId="0" borderId="1" xfId="0" applyNumberFormat="1" applyFont="1" applyBorder="1"/>
    <xf numFmtId="4" fontId="5" fillId="0" borderId="1" xfId="0" applyNumberFormat="1" applyFont="1" applyBorder="1"/>
    <xf numFmtId="4" fontId="6" fillId="0" borderId="1" xfId="0" applyNumberFormat="1" applyFont="1" applyBorder="1"/>
    <xf numFmtId="165" fontId="2" fillId="0" borderId="1" xfId="0" applyNumberFormat="1" applyFont="1" applyBorder="1"/>
    <xf numFmtId="0" fontId="3" fillId="0" borderId="1" xfId="0" applyFont="1" applyBorder="1"/>
    <xf numFmtId="0" fontId="7" fillId="0" borderId="0" xfId="0" applyFont="1"/>
    <xf numFmtId="0" fontId="3" fillId="0" borderId="0" xfId="0" applyFont="1"/>
    <xf numFmtId="0" fontId="6" fillId="3" borderId="1" xfId="0" applyFont="1" applyFill="1" applyBorder="1"/>
    <xf numFmtId="166" fontId="6" fillId="3" borderId="1" xfId="0" applyNumberFormat="1" applyFont="1" applyFill="1" applyBorder="1"/>
    <xf numFmtId="167" fontId="6" fillId="3" borderId="1" xfId="0" applyNumberFormat="1" applyFont="1" applyFill="1" applyBorder="1"/>
    <xf numFmtId="166" fontId="2" fillId="0" borderId="1" xfId="0" applyNumberFormat="1" applyFont="1" applyBorder="1"/>
    <xf numFmtId="0" fontId="2" fillId="0" borderId="1" xfId="0" applyFont="1" applyBorder="1"/>
    <xf numFmtId="2" fontId="6" fillId="3" borderId="1" xfId="0" applyNumberFormat="1" applyFont="1" applyFill="1" applyBorder="1"/>
    <xf numFmtId="164" fontId="6" fillId="3" borderId="1" xfId="0" applyNumberFormat="1" applyFont="1" applyFill="1" applyBorder="1"/>
    <xf numFmtId="0" fontId="6" fillId="3" borderId="0" xfId="0" applyFont="1" applyFill="1"/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166" fontId="5" fillId="0" borderId="1" xfId="0" applyNumberFormat="1" applyFont="1" applyBorder="1"/>
    <xf numFmtId="167" fontId="5" fillId="0" borderId="1" xfId="0" applyNumberFormat="1" applyFont="1" applyBorder="1"/>
    <xf numFmtId="165" fontId="6" fillId="0" borderId="1" xfId="0" applyNumberFormat="1" applyFont="1" applyBorder="1"/>
    <xf numFmtId="4" fontId="2" fillId="0" borderId="1" xfId="0" applyNumberFormat="1" applyFont="1" applyBorder="1"/>
    <xf numFmtId="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zoomScaleNormal="100" workbookViewId="0">
      <selection activeCell="A26" sqref="A26"/>
    </sheetView>
  </sheetViews>
  <sheetFormatPr defaultColWidth="8.6640625" defaultRowHeight="14.4" x14ac:dyDescent="0.3"/>
  <cols>
    <col min="1" max="1" width="110" customWidth="1"/>
  </cols>
  <sheetData>
    <row r="1" spans="1:1" ht="17.399999999999999" x14ac:dyDescent="0.3">
      <c r="A1" s="1" t="s">
        <v>0</v>
      </c>
    </row>
    <row r="2" spans="1:1" x14ac:dyDescent="0.3">
      <c r="A2" s="2"/>
    </row>
    <row r="3" spans="1:1" x14ac:dyDescent="0.3">
      <c r="A3" s="3" t="s">
        <v>1</v>
      </c>
    </row>
    <row r="4" spans="1:1" ht="28.2" x14ac:dyDescent="0.3">
      <c r="A4" s="2" t="s">
        <v>2</v>
      </c>
    </row>
    <row r="5" spans="1:1" x14ac:dyDescent="0.3">
      <c r="A5" s="2"/>
    </row>
    <row r="6" spans="1:1" x14ac:dyDescent="0.3">
      <c r="A6" s="3" t="s">
        <v>3</v>
      </c>
    </row>
    <row r="7" spans="1:1" ht="28.2" x14ac:dyDescent="0.3">
      <c r="A7" s="2" t="s">
        <v>4</v>
      </c>
    </row>
    <row r="8" spans="1:1" x14ac:dyDescent="0.3">
      <c r="A8" s="2" t="s">
        <v>5</v>
      </c>
    </row>
    <row r="9" spans="1:1" ht="28.2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/>
    </row>
    <row r="12" spans="1:1" x14ac:dyDescent="0.3">
      <c r="A12" s="3" t="s">
        <v>8</v>
      </c>
    </row>
    <row r="13" spans="1:1" x14ac:dyDescent="0.3">
      <c r="A13" s="2" t="s">
        <v>9</v>
      </c>
    </row>
    <row r="14" spans="1:1" x14ac:dyDescent="0.3">
      <c r="A14" s="2" t="s">
        <v>10</v>
      </c>
    </row>
    <row r="15" spans="1:1" ht="28.2" x14ac:dyDescent="0.3">
      <c r="A15" s="2" t="s">
        <v>11</v>
      </c>
    </row>
    <row r="16" spans="1:1" x14ac:dyDescent="0.3">
      <c r="A16" s="2" t="s">
        <v>12</v>
      </c>
    </row>
    <row r="17" spans="1:1" x14ac:dyDescent="0.3">
      <c r="A17" s="2" t="s">
        <v>13</v>
      </c>
    </row>
    <row r="18" spans="1:1" ht="28.2" x14ac:dyDescent="0.3">
      <c r="A18" s="2" t="s">
        <v>14</v>
      </c>
    </row>
    <row r="19" spans="1:1" x14ac:dyDescent="0.3">
      <c r="A19" s="2"/>
    </row>
    <row r="20" spans="1:1" x14ac:dyDescent="0.3">
      <c r="A20" s="3" t="s">
        <v>15</v>
      </c>
    </row>
    <row r="21" spans="1:1" ht="28.2" x14ac:dyDescent="0.3">
      <c r="A21" s="2" t="s">
        <v>16</v>
      </c>
    </row>
    <row r="22" spans="1:1" ht="28.2" x14ac:dyDescent="0.3">
      <c r="A22" s="2" t="s">
        <v>17</v>
      </c>
    </row>
    <row r="23" spans="1:1" x14ac:dyDescent="0.3">
      <c r="A23" s="2"/>
    </row>
    <row r="24" spans="1:1" x14ac:dyDescent="0.3">
      <c r="A24" s="3" t="s">
        <v>18</v>
      </c>
    </row>
    <row r="25" spans="1:1" ht="28.2" x14ac:dyDescent="0.3">
      <c r="A25" s="2" t="s">
        <v>19</v>
      </c>
    </row>
    <row r="26" spans="1:1" x14ac:dyDescent="0.3">
      <c r="A26" s="2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8" customWidth="1"/>
    <col min="3" max="3" width="18" customWidth="1"/>
    <col min="4" max="4" width="14" customWidth="1"/>
    <col min="5" max="5" width="20" customWidth="1"/>
    <col min="6" max="7" width="16" customWidth="1"/>
    <col min="8" max="8" width="18" customWidth="1"/>
    <col min="9" max="9" width="16" customWidth="1"/>
  </cols>
  <sheetData>
    <row r="1" spans="1:9" ht="17.399999999999999" x14ac:dyDescent="0.3">
      <c r="A1" s="4" t="s">
        <v>21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ht="45" customHeight="1" x14ac:dyDescent="0.3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spans="1:9" x14ac:dyDescent="0.3">
      <c r="A4" s="7" t="str">
        <f>'POL-001'!C3</f>
        <v>POL-001</v>
      </c>
      <c r="B4" s="7">
        <f>'POL-001'!C4</f>
        <v>3</v>
      </c>
      <c r="C4" s="8">
        <f>'POL-001'!C5</f>
        <v>0.5</v>
      </c>
      <c r="D4" s="9">
        <f>'POL-001'!C6</f>
        <v>100000</v>
      </c>
      <c r="E4" s="10">
        <f>'POL-001'!I15</f>
        <v>4927.6462585034005</v>
      </c>
      <c r="F4" s="10">
        <f>'POL-001'!I16</f>
        <v>2463.8231292517003</v>
      </c>
      <c r="G4" s="11">
        <v>2463.8231292516998</v>
      </c>
      <c r="H4" s="12">
        <f>F4-G4</f>
        <v>0</v>
      </c>
      <c r="I4" s="13" t="str">
        <f>IF(ABS(H4)&lt;0.005,"PASS","FAIL")</f>
        <v>PASS</v>
      </c>
    </row>
    <row r="5" spans="1:9" x14ac:dyDescent="0.3">
      <c r="A5" s="7" t="str">
        <f>'POL-002'!C3</f>
        <v>POL-002</v>
      </c>
      <c r="B5" s="7">
        <f>'POL-002'!C4</f>
        <v>5</v>
      </c>
      <c r="C5" s="8">
        <f>'POL-002'!C5</f>
        <v>0.35</v>
      </c>
      <c r="D5" s="9">
        <f>'POL-002'!C6</f>
        <v>250000</v>
      </c>
      <c r="E5" s="10">
        <f>'POL-002'!I15</f>
        <v>23945.014953617811</v>
      </c>
      <c r="F5" s="10">
        <f>'POL-002'!I16</f>
        <v>8380.7552337662328</v>
      </c>
      <c r="G5" s="11">
        <v>8380.7552337662291</v>
      </c>
      <c r="H5" s="12">
        <f>F5-G5</f>
        <v>0</v>
      </c>
      <c r="I5" s="13" t="str">
        <f>IF(ABS(H5)&lt;0.005,"PASS","FAIL")</f>
        <v>PASS</v>
      </c>
    </row>
    <row r="6" spans="1:9" x14ac:dyDescent="0.3">
      <c r="A6" s="5"/>
      <c r="B6" s="5"/>
      <c r="C6" s="5"/>
      <c r="D6" s="5"/>
      <c r="E6" s="5"/>
      <c r="F6" s="5"/>
      <c r="G6" s="5"/>
      <c r="H6" s="5"/>
      <c r="I6" s="5"/>
    </row>
    <row r="7" spans="1:9" x14ac:dyDescent="0.3">
      <c r="A7" s="14" t="s">
        <v>31</v>
      </c>
      <c r="B7" s="5"/>
      <c r="C7" s="5"/>
      <c r="D7" s="5"/>
      <c r="E7" s="5"/>
      <c r="F7" s="5"/>
      <c r="G7" s="5"/>
      <c r="H7" s="5"/>
      <c r="I7" s="5"/>
    </row>
    <row r="8" spans="1:9" x14ac:dyDescent="0.3">
      <c r="A8" s="15" t="s">
        <v>32</v>
      </c>
      <c r="B8" s="5"/>
      <c r="C8" s="15" t="str">
        <f>IF(COUNTIF('Durational Assumptions'!F2:I6,"FAIL")+COUNTIF('Policy Assumptions'!E2:G3,"FAIL")+COUNTIF('Durational Assumptions'!D10,"FAIL")=0,"OK","FAIL - see assumption sheets")</f>
        <v>OK</v>
      </c>
      <c r="D8" s="5"/>
      <c r="E8" s="5"/>
      <c r="F8" s="5"/>
      <c r="G8" s="5"/>
      <c r="H8" s="5"/>
      <c r="I8" s="5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" width="10" customWidth="1"/>
    <col min="3" max="3" width="16" customWidth="1"/>
    <col min="4" max="4" width="14" customWidth="1"/>
    <col min="5" max="5" width="15" customWidth="1"/>
    <col min="6" max="6" width="16" customWidth="1"/>
    <col min="7" max="7" width="22" customWidth="1"/>
    <col min="8" max="9" width="20" customWidth="1"/>
  </cols>
  <sheetData>
    <row r="1" spans="1:9" ht="27.6" x14ac:dyDescent="0.3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</row>
    <row r="2" spans="1:9" x14ac:dyDescent="0.3">
      <c r="A2" s="16">
        <v>1</v>
      </c>
      <c r="B2" s="17">
        <v>0.01</v>
      </c>
      <c r="C2" s="17">
        <v>0.95</v>
      </c>
      <c r="D2" s="18">
        <v>0.05</v>
      </c>
      <c r="E2" s="19">
        <f>1-C2</f>
        <v>5.0000000000000044E-2</v>
      </c>
      <c r="F2" s="20" t="str">
        <f t="shared" ref="F2:G6" si="0">IF(AND(B2&gt;=0,B2&lt;=1),"OK","FAIL")</f>
        <v>OK</v>
      </c>
      <c r="G2" s="20" t="str">
        <f t="shared" si="0"/>
        <v>OK</v>
      </c>
      <c r="H2" s="20" t="str">
        <f>IF(B2+E2&lt;=1,"OK","FAIL")</f>
        <v>OK</v>
      </c>
      <c r="I2" s="20" t="str">
        <f>IF(D2&gt;-1,"OK","FAIL")</f>
        <v>OK</v>
      </c>
    </row>
    <row r="3" spans="1:9" x14ac:dyDescent="0.3">
      <c r="A3" s="16">
        <v>2</v>
      </c>
      <c r="B3" s="17">
        <v>0.02</v>
      </c>
      <c r="C3" s="17">
        <v>0.95</v>
      </c>
      <c r="D3" s="18">
        <v>0.05</v>
      </c>
      <c r="E3" s="19">
        <f>1-C3</f>
        <v>5.0000000000000044E-2</v>
      </c>
      <c r="F3" s="20" t="str">
        <f t="shared" si="0"/>
        <v>OK</v>
      </c>
      <c r="G3" s="20" t="str">
        <f t="shared" si="0"/>
        <v>OK</v>
      </c>
      <c r="H3" s="20" t="str">
        <f>IF(B3+E3&lt;=1,"OK","FAIL")</f>
        <v>OK</v>
      </c>
      <c r="I3" s="20" t="str">
        <f>IF(D3&gt;-1,"OK","FAIL")</f>
        <v>OK</v>
      </c>
    </row>
    <row r="4" spans="1:9" x14ac:dyDescent="0.3">
      <c r="A4" s="16">
        <v>3</v>
      </c>
      <c r="B4" s="17">
        <v>0.03</v>
      </c>
      <c r="C4" s="17">
        <v>0.95</v>
      </c>
      <c r="D4" s="18">
        <v>0.05</v>
      </c>
      <c r="E4" s="19">
        <f>1-C4</f>
        <v>5.0000000000000044E-2</v>
      </c>
      <c r="F4" s="20" t="str">
        <f t="shared" si="0"/>
        <v>OK</v>
      </c>
      <c r="G4" s="20" t="str">
        <f t="shared" si="0"/>
        <v>OK</v>
      </c>
      <c r="H4" s="20" t="str">
        <f>IF(B4+E4&lt;=1,"OK","FAIL")</f>
        <v>OK</v>
      </c>
      <c r="I4" s="20" t="str">
        <f>IF(D4&gt;-1,"OK","FAIL")</f>
        <v>OK</v>
      </c>
    </row>
    <row r="5" spans="1:9" x14ac:dyDescent="0.3">
      <c r="A5" s="16">
        <v>4</v>
      </c>
      <c r="B5" s="17">
        <v>3.5000000000000003E-2</v>
      </c>
      <c r="C5" s="17">
        <v>0.94</v>
      </c>
      <c r="D5" s="18">
        <v>4.4999999999999998E-2</v>
      </c>
      <c r="E5" s="19">
        <f>1-C5</f>
        <v>6.0000000000000053E-2</v>
      </c>
      <c r="F5" s="20" t="str">
        <f t="shared" si="0"/>
        <v>OK</v>
      </c>
      <c r="G5" s="20" t="str">
        <f t="shared" si="0"/>
        <v>OK</v>
      </c>
      <c r="H5" s="20" t="str">
        <f>IF(B5+E5&lt;=1,"OK","FAIL")</f>
        <v>OK</v>
      </c>
      <c r="I5" s="20" t="str">
        <f>IF(D5&gt;-1,"OK","FAIL")</f>
        <v>OK</v>
      </c>
    </row>
    <row r="6" spans="1:9" x14ac:dyDescent="0.3">
      <c r="A6" s="16">
        <v>5</v>
      </c>
      <c r="B6" s="17">
        <v>0.04</v>
      </c>
      <c r="C6" s="17">
        <v>0.94</v>
      </c>
      <c r="D6" s="18">
        <v>4.4999999999999998E-2</v>
      </c>
      <c r="E6" s="19">
        <f>1-C6</f>
        <v>6.0000000000000053E-2</v>
      </c>
      <c r="F6" s="20" t="str">
        <f t="shared" si="0"/>
        <v>OK</v>
      </c>
      <c r="G6" s="20" t="str">
        <f t="shared" si="0"/>
        <v>OK</v>
      </c>
      <c r="H6" s="20" t="str">
        <f>IF(B6+E6&lt;=1,"OK","FAIL")</f>
        <v>OK</v>
      </c>
      <c r="I6" s="20" t="str">
        <f>IF(D6&gt;-1,"OK","FAIL")</f>
        <v>OK</v>
      </c>
    </row>
    <row r="7" spans="1:9" x14ac:dyDescent="0.3">
      <c r="A7" s="5"/>
      <c r="B7" s="5"/>
      <c r="C7" s="5"/>
      <c r="D7" s="5"/>
      <c r="E7" s="5"/>
      <c r="F7" s="5"/>
      <c r="G7" s="5"/>
      <c r="H7" s="5"/>
      <c r="I7" s="5"/>
    </row>
    <row r="8" spans="1:9" x14ac:dyDescent="0.3">
      <c r="A8" s="14" t="s">
        <v>42</v>
      </c>
      <c r="B8" s="5"/>
      <c r="C8" s="5"/>
      <c r="D8" s="5"/>
      <c r="E8" s="5"/>
      <c r="F8" s="5"/>
      <c r="G8" s="5"/>
      <c r="H8" s="5"/>
      <c r="I8" s="5"/>
    </row>
    <row r="9" spans="1:9" x14ac:dyDescent="0.3">
      <c r="A9" s="14" t="s">
        <v>43</v>
      </c>
      <c r="B9" s="5"/>
      <c r="C9" s="5"/>
      <c r="D9" s="5"/>
      <c r="E9" s="5"/>
      <c r="F9" s="5"/>
      <c r="G9" s="5"/>
      <c r="H9" s="5"/>
      <c r="I9" s="5"/>
    </row>
    <row r="10" spans="1:9" x14ac:dyDescent="0.3">
      <c r="A10" s="15" t="s">
        <v>44</v>
      </c>
      <c r="B10" s="5"/>
      <c r="C10" s="5"/>
      <c r="D10" s="5" t="str">
        <f>IF(SUMPRODUCT(--(A2:A6=ROW(A2:A6)-1))=COUNT(A2:A6),"OK","FAIL")</f>
        <v>OK</v>
      </c>
      <c r="E10" s="5"/>
      <c r="F10" s="5"/>
      <c r="G10" s="5"/>
      <c r="H10" s="5"/>
      <c r="I10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8" customWidth="1"/>
    <col min="3" max="3" width="18" customWidth="1"/>
    <col min="4" max="4" width="14" customWidth="1"/>
    <col min="5" max="5" width="30" customWidth="1"/>
    <col min="6" max="6" width="22" customWidth="1"/>
    <col min="7" max="7" width="20" customWidth="1"/>
  </cols>
  <sheetData>
    <row r="1" spans="1:7" ht="41.4" x14ac:dyDescent="0.3">
      <c r="A1" s="6" t="s">
        <v>22</v>
      </c>
      <c r="B1" s="6" t="s">
        <v>23</v>
      </c>
      <c r="C1" s="6" t="s">
        <v>24</v>
      </c>
      <c r="D1" s="6" t="s">
        <v>25</v>
      </c>
      <c r="E1" s="6" t="s">
        <v>45</v>
      </c>
      <c r="F1" s="6" t="s">
        <v>46</v>
      </c>
      <c r="G1" s="6" t="s">
        <v>47</v>
      </c>
    </row>
    <row r="2" spans="1:7" x14ac:dyDescent="0.3">
      <c r="A2" s="16" t="s">
        <v>48</v>
      </c>
      <c r="B2" s="16">
        <v>3</v>
      </c>
      <c r="C2" s="21">
        <v>0.5</v>
      </c>
      <c r="D2" s="22">
        <v>100000</v>
      </c>
      <c r="E2" s="20" t="str">
        <f>IF(AND(B2&gt;0,B2=INT(B2),B2&lt;=COUNT('Durational Assumptions'!$A$2:$A$6)),"OK","FAIL")</f>
        <v>OK</v>
      </c>
      <c r="F2" s="20" t="str">
        <f>IF(AND(C2&gt;=0,C2&lt;=1),"OK","FAIL")</f>
        <v>OK</v>
      </c>
      <c r="G2" s="20" t="str">
        <f>IF(D2&gt;0,"OK","FAIL")</f>
        <v>OK</v>
      </c>
    </row>
    <row r="3" spans="1:7" x14ac:dyDescent="0.3">
      <c r="A3" s="16" t="s">
        <v>49</v>
      </c>
      <c r="B3" s="16">
        <v>5</v>
      </c>
      <c r="C3" s="21">
        <v>0.35</v>
      </c>
      <c r="D3" s="22">
        <v>250000</v>
      </c>
      <c r="E3" s="20" t="str">
        <f>IF(AND(B3&gt;0,B3=INT(B3),B3&lt;=COUNT('Durational Assumptions'!$A$2:$A$6)),"OK","FAIL")</f>
        <v>OK</v>
      </c>
      <c r="F3" s="20" t="str">
        <f>IF(AND(C3&gt;=0,C3&lt;=1),"OK","FAIL")</f>
        <v>OK</v>
      </c>
      <c r="G3" s="20" t="str">
        <f>IF(D3&gt;0,"OK","FAIL")</f>
        <v>OK</v>
      </c>
    </row>
    <row r="4" spans="1:7" x14ac:dyDescent="0.3">
      <c r="A4" s="5"/>
      <c r="B4" s="5"/>
      <c r="C4" s="5"/>
      <c r="D4" s="5"/>
      <c r="E4" s="5"/>
      <c r="F4" s="5"/>
      <c r="G4" s="5"/>
    </row>
    <row r="5" spans="1:7" x14ac:dyDescent="0.3">
      <c r="A5" s="14" t="s">
        <v>50</v>
      </c>
      <c r="B5" s="5"/>
      <c r="C5" s="5"/>
      <c r="D5" s="5"/>
      <c r="E5" s="5"/>
      <c r="F5" s="5"/>
      <c r="G5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zoomScaleNormal="100" workbookViewId="0">
      <pane ySplit="8" topLeftCell="A9" activePane="bottomLeft" state="frozen"/>
      <selection pane="bottomLeft" activeCell="I9" sqref="I9:I13"/>
    </sheetView>
  </sheetViews>
  <sheetFormatPr defaultColWidth="8.6640625" defaultRowHeight="14.4" x14ac:dyDescent="0.3"/>
  <cols>
    <col min="1" max="2" width="12" customWidth="1"/>
    <col min="3" max="4" width="10" customWidth="1"/>
    <col min="5" max="5" width="13" customWidth="1"/>
    <col min="6" max="7" width="18" customWidth="1"/>
    <col min="8" max="8" width="20" customWidth="1"/>
    <col min="9" max="9" width="16" customWidth="1"/>
  </cols>
  <sheetData>
    <row r="1" spans="1:9" ht="17.399999999999999" x14ac:dyDescent="0.3">
      <c r="A1" s="4" t="s">
        <v>51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15" t="s">
        <v>52</v>
      </c>
      <c r="B3" s="5"/>
      <c r="C3" s="23" t="s">
        <v>48</v>
      </c>
      <c r="D3" s="5"/>
      <c r="E3" s="5"/>
      <c r="F3" s="5"/>
      <c r="G3" s="5"/>
      <c r="H3" s="5"/>
      <c r="I3" s="5"/>
    </row>
    <row r="4" spans="1:9" x14ac:dyDescent="0.3">
      <c r="A4" s="15" t="s">
        <v>23</v>
      </c>
      <c r="B4" s="5"/>
      <c r="C4" s="24">
        <f>INDEX('Policy Assumptions'!$B:$B,MATCH($C$3,'Policy Assumptions'!$A:$A,0))</f>
        <v>3</v>
      </c>
      <c r="D4" s="5"/>
      <c r="E4" s="5"/>
      <c r="F4" s="5"/>
      <c r="G4" s="5"/>
      <c r="H4" s="5"/>
      <c r="I4" s="5"/>
    </row>
    <row r="5" spans="1:9" x14ac:dyDescent="0.3">
      <c r="A5" s="15" t="s">
        <v>24</v>
      </c>
      <c r="B5" s="5"/>
      <c r="C5" s="25">
        <f>INDEX('Policy Assumptions'!$C:$C,MATCH($C$3,'Policy Assumptions'!$A:$A,0))</f>
        <v>0.5</v>
      </c>
      <c r="D5" s="5"/>
      <c r="E5" s="5"/>
      <c r="F5" s="5"/>
      <c r="G5" s="5"/>
      <c r="H5" s="5"/>
      <c r="I5" s="5"/>
    </row>
    <row r="6" spans="1:9" x14ac:dyDescent="0.3">
      <c r="A6" s="15" t="s">
        <v>25</v>
      </c>
      <c r="B6" s="5"/>
      <c r="C6" s="26">
        <f>INDEX('Policy Assumptions'!$D:$D,MATCH($C$3,'Policy Assumptions'!$A:$A,0))</f>
        <v>100000</v>
      </c>
      <c r="D6" s="5"/>
      <c r="E6" s="5"/>
      <c r="F6" s="5"/>
      <c r="G6" s="5"/>
      <c r="H6" s="5"/>
      <c r="I6" s="5"/>
    </row>
    <row r="7" spans="1:9" x14ac:dyDescent="0.3">
      <c r="A7" s="5"/>
      <c r="B7" s="5"/>
      <c r="C7" s="5"/>
      <c r="D7" s="5"/>
      <c r="E7" s="5"/>
      <c r="F7" s="5"/>
      <c r="G7" s="5"/>
      <c r="H7" s="5"/>
      <c r="I7" s="5"/>
    </row>
    <row r="8" spans="1:9" ht="45" customHeight="1" x14ac:dyDescent="0.3">
      <c r="A8" s="6" t="s">
        <v>53</v>
      </c>
      <c r="B8" s="6" t="s">
        <v>54</v>
      </c>
      <c r="C8" s="6" t="s">
        <v>34</v>
      </c>
      <c r="D8" s="6" t="s">
        <v>55</v>
      </c>
      <c r="E8" s="6" t="s">
        <v>36</v>
      </c>
      <c r="F8" s="6" t="s">
        <v>56</v>
      </c>
      <c r="G8" s="6" t="s">
        <v>57</v>
      </c>
      <c r="H8" s="6" t="s">
        <v>58</v>
      </c>
      <c r="I8" s="6" t="s">
        <v>59</v>
      </c>
    </row>
    <row r="9" spans="1:9" x14ac:dyDescent="0.3">
      <c r="A9" s="7">
        <f>'Durational Assumptions'!A2</f>
        <v>1</v>
      </c>
      <c r="B9" s="20">
        <f>IF(A9&lt;=$C$4,1,0)</f>
        <v>1</v>
      </c>
      <c r="C9" s="27">
        <f>'Durational Assumptions'!B2</f>
        <v>0.01</v>
      </c>
      <c r="D9" s="27">
        <f>'Durational Assumptions'!E2</f>
        <v>5.0000000000000044E-2</v>
      </c>
      <c r="E9" s="28">
        <f>'Durational Assumptions'!D2</f>
        <v>0.05</v>
      </c>
      <c r="F9" s="29">
        <v>1</v>
      </c>
      <c r="G9" s="12">
        <f>1/(1+E9)</f>
        <v>0.95238095238095233</v>
      </c>
      <c r="H9" s="30">
        <f>B9*F9*C9*$C$6</f>
        <v>1000</v>
      </c>
      <c r="I9" s="30">
        <f>H9*G9</f>
        <v>952.38095238095229</v>
      </c>
    </row>
    <row r="10" spans="1:9" x14ac:dyDescent="0.3">
      <c r="A10" s="7">
        <f>'Durational Assumptions'!A3</f>
        <v>2</v>
      </c>
      <c r="B10" s="20">
        <f>IF(A10&lt;=$C$4,1,0)</f>
        <v>1</v>
      </c>
      <c r="C10" s="27">
        <f>'Durational Assumptions'!B3</f>
        <v>0.02</v>
      </c>
      <c r="D10" s="27">
        <f>'Durational Assumptions'!E3</f>
        <v>5.0000000000000044E-2</v>
      </c>
      <c r="E10" s="28">
        <f>'Durational Assumptions'!D3</f>
        <v>0.05</v>
      </c>
      <c r="F10" s="12">
        <f>F9*(1-C9)*(1-D9)</f>
        <v>0.9405</v>
      </c>
      <c r="G10" s="12">
        <f>G9/(1+E10)</f>
        <v>0.90702947845804982</v>
      </c>
      <c r="H10" s="30">
        <f>B10*F10*C10*$C$6</f>
        <v>1881</v>
      </c>
      <c r="I10" s="30">
        <f>H10*G10</f>
        <v>1706.1224489795918</v>
      </c>
    </row>
    <row r="11" spans="1:9" x14ac:dyDescent="0.3">
      <c r="A11" s="7">
        <f>'Durational Assumptions'!A4</f>
        <v>3</v>
      </c>
      <c r="B11" s="20">
        <f>IF(A11&lt;=$C$4,1,0)</f>
        <v>1</v>
      </c>
      <c r="C11" s="27">
        <f>'Durational Assumptions'!B4</f>
        <v>0.03</v>
      </c>
      <c r="D11" s="27">
        <f>'Durational Assumptions'!E4</f>
        <v>5.0000000000000044E-2</v>
      </c>
      <c r="E11" s="28">
        <f>'Durational Assumptions'!D4</f>
        <v>0.05</v>
      </c>
      <c r="F11" s="12">
        <f>F10*(1-C10)*(1-D10)</f>
        <v>0.87560549999999993</v>
      </c>
      <c r="G11" s="12">
        <f>G10/(1+E11)</f>
        <v>0.86383759853147601</v>
      </c>
      <c r="H11" s="30">
        <f>B11*F11*C11*$C$6</f>
        <v>2626.8164999999995</v>
      </c>
      <c r="I11" s="30">
        <f>H11*G11</f>
        <v>2269.1428571428564</v>
      </c>
    </row>
    <row r="12" spans="1:9" x14ac:dyDescent="0.3">
      <c r="A12" s="7">
        <f>'Durational Assumptions'!A5</f>
        <v>4</v>
      </c>
      <c r="B12" s="20">
        <f>IF(A12&lt;=$C$4,1,0)</f>
        <v>0</v>
      </c>
      <c r="C12" s="27">
        <f>'Durational Assumptions'!B5</f>
        <v>3.5000000000000003E-2</v>
      </c>
      <c r="D12" s="27">
        <f>'Durational Assumptions'!E5</f>
        <v>6.0000000000000053E-2</v>
      </c>
      <c r="E12" s="28">
        <f>'Durational Assumptions'!D5</f>
        <v>4.4999999999999998E-2</v>
      </c>
      <c r="F12" s="12">
        <f>F11*(1-C11)*(1-D11)</f>
        <v>0.80687046824999986</v>
      </c>
      <c r="G12" s="12">
        <f>G11/(1+E12)</f>
        <v>0.82663885026935513</v>
      </c>
      <c r="H12" s="30">
        <f>B12*F12*C12*$C$6</f>
        <v>0</v>
      </c>
      <c r="I12" s="30">
        <f>H12*G12</f>
        <v>0</v>
      </c>
    </row>
    <row r="13" spans="1:9" x14ac:dyDescent="0.3">
      <c r="A13" s="7">
        <f>'Durational Assumptions'!A6</f>
        <v>5</v>
      </c>
      <c r="B13" s="20">
        <f>IF(A13&lt;=$C$4,1,0)</f>
        <v>0</v>
      </c>
      <c r="C13" s="27">
        <f>'Durational Assumptions'!B6</f>
        <v>0.04</v>
      </c>
      <c r="D13" s="27">
        <f>'Durational Assumptions'!E6</f>
        <v>6.0000000000000053E-2</v>
      </c>
      <c r="E13" s="28">
        <f>'Durational Assumptions'!D6</f>
        <v>4.4999999999999998E-2</v>
      </c>
      <c r="F13" s="12">
        <f>F12*(1-C12)*(1-D12)</f>
        <v>0.73191220174957483</v>
      </c>
      <c r="G13" s="12">
        <f>G12/(1+E13)</f>
        <v>0.79104196198024423</v>
      </c>
      <c r="H13" s="30">
        <f>B13*F13*C13*$C$6</f>
        <v>0</v>
      </c>
      <c r="I13" s="30">
        <f>H13*G13</f>
        <v>0</v>
      </c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15" t="s">
        <v>60</v>
      </c>
      <c r="B15" s="5"/>
      <c r="C15" s="5"/>
      <c r="D15" s="5"/>
      <c r="E15" s="5"/>
      <c r="F15" s="5"/>
      <c r="G15" s="5"/>
      <c r="H15" s="5"/>
      <c r="I15" s="31">
        <f>SUM(I9:I13)</f>
        <v>4927.6462585034005</v>
      </c>
    </row>
    <row r="16" spans="1:9" x14ac:dyDescent="0.3">
      <c r="A16" s="15" t="s">
        <v>61</v>
      </c>
      <c r="B16" s="5"/>
      <c r="C16" s="5"/>
      <c r="D16" s="5"/>
      <c r="E16" s="5"/>
      <c r="F16" s="5"/>
      <c r="G16" s="5"/>
      <c r="H16" s="5"/>
      <c r="I16" s="31">
        <f>I15*$C$5</f>
        <v>2463.8231292517003</v>
      </c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14" t="s">
        <v>62</v>
      </c>
      <c r="B18" s="5"/>
      <c r="C18" s="5"/>
      <c r="D18" s="5"/>
      <c r="E18" s="5"/>
      <c r="F18" s="5"/>
      <c r="G18" s="5"/>
      <c r="H18" s="5"/>
      <c r="I18" s="5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zoomScaleNormal="100" workbookViewId="0">
      <pane ySplit="8" topLeftCell="A9" activePane="bottomLeft" state="frozen"/>
      <selection pane="bottomLeft" activeCell="I16" sqref="I16"/>
    </sheetView>
  </sheetViews>
  <sheetFormatPr defaultColWidth="8.6640625" defaultRowHeight="14.4" x14ac:dyDescent="0.3"/>
  <cols>
    <col min="1" max="2" width="12" customWidth="1"/>
    <col min="3" max="4" width="10" customWidth="1"/>
    <col min="5" max="5" width="13" customWidth="1"/>
    <col min="6" max="7" width="18" customWidth="1"/>
    <col min="8" max="8" width="20" customWidth="1"/>
    <col min="9" max="9" width="16" customWidth="1"/>
  </cols>
  <sheetData>
    <row r="1" spans="1:9" ht="17.399999999999999" x14ac:dyDescent="0.3">
      <c r="A1" s="4" t="s">
        <v>63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3" spans="1:9" x14ac:dyDescent="0.3">
      <c r="A3" s="15" t="s">
        <v>52</v>
      </c>
      <c r="B3" s="5"/>
      <c r="C3" s="23" t="s">
        <v>49</v>
      </c>
      <c r="D3" s="5"/>
      <c r="E3" s="5"/>
      <c r="F3" s="5"/>
      <c r="G3" s="5"/>
      <c r="H3" s="5"/>
      <c r="I3" s="5"/>
    </row>
    <row r="4" spans="1:9" x14ac:dyDescent="0.3">
      <c r="A4" s="15" t="s">
        <v>23</v>
      </c>
      <c r="B4" s="5"/>
      <c r="C4" s="24">
        <f>INDEX('Policy Assumptions'!$B:$B,MATCH($C$3,'Policy Assumptions'!$A:$A,0))</f>
        <v>5</v>
      </c>
      <c r="D4" s="5"/>
      <c r="E4" s="5"/>
      <c r="F4" s="5"/>
      <c r="G4" s="5"/>
      <c r="H4" s="5"/>
      <c r="I4" s="5"/>
    </row>
    <row r="5" spans="1:9" x14ac:dyDescent="0.3">
      <c r="A5" s="15" t="s">
        <v>24</v>
      </c>
      <c r="B5" s="5"/>
      <c r="C5" s="25">
        <f>INDEX('Policy Assumptions'!$C:$C,MATCH($C$3,'Policy Assumptions'!$A:$A,0))</f>
        <v>0.35</v>
      </c>
      <c r="D5" s="5"/>
      <c r="E5" s="5"/>
      <c r="F5" s="5"/>
      <c r="G5" s="5"/>
      <c r="H5" s="5"/>
      <c r="I5" s="5"/>
    </row>
    <row r="6" spans="1:9" x14ac:dyDescent="0.3">
      <c r="A6" s="15" t="s">
        <v>25</v>
      </c>
      <c r="B6" s="5"/>
      <c r="C6" s="26">
        <f>INDEX('Policy Assumptions'!$D:$D,MATCH($C$3,'Policy Assumptions'!$A:$A,0))</f>
        <v>250000</v>
      </c>
      <c r="D6" s="5"/>
      <c r="E6" s="5"/>
      <c r="F6" s="5"/>
      <c r="G6" s="5"/>
      <c r="H6" s="5"/>
      <c r="I6" s="5"/>
    </row>
    <row r="7" spans="1:9" x14ac:dyDescent="0.3">
      <c r="A7" s="5"/>
      <c r="B7" s="5"/>
      <c r="C7" s="5"/>
      <c r="D7" s="5"/>
      <c r="E7" s="5"/>
      <c r="F7" s="5"/>
      <c r="G7" s="5"/>
      <c r="H7" s="5"/>
      <c r="I7" s="5"/>
    </row>
    <row r="8" spans="1:9" ht="45" customHeight="1" x14ac:dyDescent="0.3">
      <c r="A8" s="6" t="s">
        <v>53</v>
      </c>
      <c r="B8" s="6" t="s">
        <v>54</v>
      </c>
      <c r="C8" s="6" t="s">
        <v>34</v>
      </c>
      <c r="D8" s="6" t="s">
        <v>55</v>
      </c>
      <c r="E8" s="6" t="s">
        <v>36</v>
      </c>
      <c r="F8" s="6" t="s">
        <v>56</v>
      </c>
      <c r="G8" s="6" t="s">
        <v>57</v>
      </c>
      <c r="H8" s="6" t="s">
        <v>58</v>
      </c>
      <c r="I8" s="6" t="s">
        <v>59</v>
      </c>
    </row>
    <row r="9" spans="1:9" x14ac:dyDescent="0.3">
      <c r="A9" s="7">
        <f>'Durational Assumptions'!A2</f>
        <v>1</v>
      </c>
      <c r="B9" s="20">
        <f>IF(A9&lt;=$C$4,1,0)</f>
        <v>1</v>
      </c>
      <c r="C9" s="27">
        <f>'Durational Assumptions'!B2</f>
        <v>0.01</v>
      </c>
      <c r="D9" s="27">
        <f>'Durational Assumptions'!E2</f>
        <v>5.0000000000000044E-2</v>
      </c>
      <c r="E9" s="28">
        <f>'Durational Assumptions'!D2</f>
        <v>0.05</v>
      </c>
      <c r="F9" s="29">
        <v>1</v>
      </c>
      <c r="G9" s="12">
        <f>1/(1+E9)</f>
        <v>0.95238095238095233</v>
      </c>
      <c r="H9" s="30">
        <f>B9*F9*C9*$C$6</f>
        <v>2500</v>
      </c>
      <c r="I9" s="30">
        <f>H9*G9</f>
        <v>2380.9523809523807</v>
      </c>
    </row>
    <row r="10" spans="1:9" x14ac:dyDescent="0.3">
      <c r="A10" s="7">
        <f>'Durational Assumptions'!A3</f>
        <v>2</v>
      </c>
      <c r="B10" s="20">
        <f>IF(A10&lt;=$C$4,1,0)</f>
        <v>1</v>
      </c>
      <c r="C10" s="27">
        <f>'Durational Assumptions'!B3</f>
        <v>0.02</v>
      </c>
      <c r="D10" s="27">
        <f>'Durational Assumptions'!E3</f>
        <v>5.0000000000000044E-2</v>
      </c>
      <c r="E10" s="28">
        <f>'Durational Assumptions'!D3</f>
        <v>0.05</v>
      </c>
      <c r="F10" s="12">
        <f>F9*(1-C9)*(1-D9)</f>
        <v>0.9405</v>
      </c>
      <c r="G10" s="12">
        <f>G9/(1+E10)</f>
        <v>0.90702947845804982</v>
      </c>
      <c r="H10" s="30">
        <f>B10*F10*C10*$C$6</f>
        <v>4702.5</v>
      </c>
      <c r="I10" s="30">
        <f>H10*G10</f>
        <v>4265.3061224489793</v>
      </c>
    </row>
    <row r="11" spans="1:9" x14ac:dyDescent="0.3">
      <c r="A11" s="7">
        <f>'Durational Assumptions'!A4</f>
        <v>3</v>
      </c>
      <c r="B11" s="20">
        <f>IF(A11&lt;=$C$4,1,0)</f>
        <v>1</v>
      </c>
      <c r="C11" s="27">
        <f>'Durational Assumptions'!B4</f>
        <v>0.03</v>
      </c>
      <c r="D11" s="27">
        <f>'Durational Assumptions'!E4</f>
        <v>5.0000000000000044E-2</v>
      </c>
      <c r="E11" s="28">
        <f>'Durational Assumptions'!D4</f>
        <v>0.05</v>
      </c>
      <c r="F11" s="12">
        <f>F10*(1-C10)*(1-D10)</f>
        <v>0.87560549999999993</v>
      </c>
      <c r="G11" s="12">
        <f>G10/(1+E11)</f>
        <v>0.86383759853147601</v>
      </c>
      <c r="H11" s="30">
        <f>B11*F11*C11*$C$6</f>
        <v>6567.0412499999993</v>
      </c>
      <c r="I11" s="30">
        <f>H11*G11</f>
        <v>5672.8571428571422</v>
      </c>
    </row>
    <row r="12" spans="1:9" x14ac:dyDescent="0.3">
      <c r="A12" s="7">
        <f>'Durational Assumptions'!A5</f>
        <v>4</v>
      </c>
      <c r="B12" s="20">
        <f>IF(A12&lt;=$C$4,1,0)</f>
        <v>1</v>
      </c>
      <c r="C12" s="27">
        <f>'Durational Assumptions'!B5</f>
        <v>3.5000000000000003E-2</v>
      </c>
      <c r="D12" s="27">
        <f>'Durational Assumptions'!E5</f>
        <v>6.0000000000000053E-2</v>
      </c>
      <c r="E12" s="28">
        <f>'Durational Assumptions'!D5</f>
        <v>4.4999999999999998E-2</v>
      </c>
      <c r="F12" s="12">
        <f>F11*(1-C11)*(1-D11)</f>
        <v>0.80687046824999986</v>
      </c>
      <c r="G12" s="12">
        <f>G11/(1+E12)</f>
        <v>0.82663885026935513</v>
      </c>
      <c r="H12" s="30">
        <f>B12*F12*C12*$C$6</f>
        <v>7060.1165971874989</v>
      </c>
      <c r="I12" s="30">
        <f>H12*G12</f>
        <v>5836.1666666666661</v>
      </c>
    </row>
    <row r="13" spans="1:9" x14ac:dyDescent="0.3">
      <c r="A13" s="7">
        <f>'Durational Assumptions'!A6</f>
        <v>5</v>
      </c>
      <c r="B13" s="20">
        <f>IF(A13&lt;=$C$4,1,0)</f>
        <v>1</v>
      </c>
      <c r="C13" s="27">
        <f>'Durational Assumptions'!B6</f>
        <v>0.04</v>
      </c>
      <c r="D13" s="27">
        <f>'Durational Assumptions'!E6</f>
        <v>6.0000000000000053E-2</v>
      </c>
      <c r="E13" s="28">
        <f>'Durational Assumptions'!D6</f>
        <v>4.4999999999999998E-2</v>
      </c>
      <c r="F13" s="12">
        <f>F12*(1-C12)*(1-D12)</f>
        <v>0.73191220174957483</v>
      </c>
      <c r="G13" s="12">
        <f>G12/(1+E13)</f>
        <v>0.79104196198024423</v>
      </c>
      <c r="H13" s="30">
        <f>B13*F13*C13*$C$6</f>
        <v>7319.1220174957489</v>
      </c>
      <c r="I13" s="30">
        <f>H13*G13</f>
        <v>5789.7326406926404</v>
      </c>
    </row>
    <row r="14" spans="1:9" x14ac:dyDescent="0.3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15" t="s">
        <v>60</v>
      </c>
      <c r="B15" s="5"/>
      <c r="C15" s="5"/>
      <c r="D15" s="5"/>
      <c r="E15" s="5"/>
      <c r="F15" s="5"/>
      <c r="G15" s="5"/>
      <c r="H15" s="5"/>
      <c r="I15" s="31">
        <f>SUM(I9:I13)</f>
        <v>23945.014953617811</v>
      </c>
    </row>
    <row r="16" spans="1:9" x14ac:dyDescent="0.3">
      <c r="A16" s="15" t="s">
        <v>61</v>
      </c>
      <c r="B16" s="5"/>
      <c r="C16" s="5"/>
      <c r="D16" s="5"/>
      <c r="E16" s="5"/>
      <c r="F16" s="5"/>
      <c r="G16" s="5"/>
      <c r="H16" s="5"/>
      <c r="I16" s="31">
        <f>I15*$C$5</f>
        <v>8380.7552337662328</v>
      </c>
    </row>
    <row r="17" spans="1:9" x14ac:dyDescent="0.3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14" t="s">
        <v>62</v>
      </c>
      <c r="B18" s="5"/>
      <c r="C18" s="5"/>
      <c r="D18" s="5"/>
      <c r="E18" s="5"/>
      <c r="F18" s="5"/>
      <c r="G18" s="5"/>
      <c r="H18" s="5"/>
      <c r="I18" s="5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Summary</vt:lpstr>
      <vt:lpstr>Durational Assumptions</vt:lpstr>
      <vt:lpstr>Policy Assumptions</vt:lpstr>
      <vt:lpstr>POL-001</vt:lpstr>
      <vt:lpstr>POL-002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Michael Niemerg</cp:lastModifiedBy>
  <cp:revision>0</cp:revision>
  <dcterms:created xsi:type="dcterms:W3CDTF">2026-09-23T00:03:39Z</dcterms:created>
  <dcterms:modified xsi:type="dcterms:W3CDTF">2026-09-23T00:08:40Z</dcterms:modified>
  <dc:language>en-US</dc:language>
</cp:coreProperties>
</file>